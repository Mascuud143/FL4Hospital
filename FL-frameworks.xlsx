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liveuis-my.sharepoint.com/personal/2926571_uis_no/Documents/Thesis-Proposals/2026/FL4Hospital/"/>
    </mc:Choice>
  </mc:AlternateContent>
  <xr:revisionPtr revIDLastSave="1597" documentId="8_{5036116D-0BB3-463B-9CBD-B8EE2E5F21FA}" xr6:coauthVersionLast="47" xr6:coauthVersionMax="47" xr10:uidLastSave="{D1297953-D915-493F-B849-BE63B5915BF4}"/>
  <bookViews>
    <workbookView xWindow="-21600" yWindow="0" windowWidth="21810" windowHeight="18945" xr2:uid="{604F3F32-2CEC-48A2-84B2-7DADBA3CD606}"/>
  </bookViews>
  <sheets>
    <sheet name="Framework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K4" i="2"/>
  <c r="K12" i="2"/>
  <c r="A12" i="2"/>
  <c r="K11" i="2"/>
  <c r="A11" i="2"/>
  <c r="K10" i="2"/>
  <c r="A10" i="2"/>
  <c r="K9" i="2"/>
  <c r="A9" i="2"/>
  <c r="K8" i="2"/>
  <c r="A8" i="2"/>
  <c r="K7" i="2"/>
  <c r="A7" i="2"/>
  <c r="A6" i="2"/>
  <c r="A2" i="2"/>
  <c r="A3" i="2"/>
  <c r="A4" i="2"/>
  <c r="A5" i="2"/>
  <c r="K3" i="2"/>
</calcChain>
</file>

<file path=xl/sharedStrings.xml><?xml version="1.0" encoding="utf-8"?>
<sst xmlns="http://schemas.openxmlformats.org/spreadsheetml/2006/main" count="110" uniqueCount="63">
  <si>
    <t>Notes</t>
  </si>
  <si>
    <t>Framework</t>
  </si>
  <si>
    <t>Language</t>
  </si>
  <si>
    <t>ML backend</t>
  </si>
  <si>
    <t>FL Architecture type</t>
  </si>
  <si>
    <t>Supported aggregation algorithms</t>
  </si>
  <si>
    <t>Client simulation
(on a single machine)</t>
  </si>
  <si>
    <t>Communication optimization</t>
  </si>
  <si>
    <t>Communication</t>
  </si>
  <si>
    <t>Privacy handling</t>
  </si>
  <si>
    <t>Links</t>
  </si>
  <si>
    <t>Python</t>
  </si>
  <si>
    <t>TensorFlow/Keras</t>
  </si>
  <si>
    <t>Centralized</t>
  </si>
  <si>
    <t>FedAvg, FedOpt variants, custom</t>
  </si>
  <si>
    <t>Yes</t>
  </si>
  <si>
    <t>Limited</t>
  </si>
  <si>
    <t>Abstracted</t>
  </si>
  <si>
    <t>DP</t>
  </si>
  <si>
    <t>Research-oriented: excellent algorithmic control and non-IID experimentation; however, abstracted communication limits system and deployment realism</t>
  </si>
  <si>
    <t>PyTorch, TensorFlow/Keras, NumPy</t>
  </si>
  <si>
    <t>FedAvg, FedProx, FedOpt, custom</t>
  </si>
  <si>
    <t>gRPC</t>
  </si>
  <si>
    <t>Research-to-practical bridge: scalable, flexible, and easy to simulate realistic FL workflows; however, limited built-in support for advanced or specialized FL algorithms (but can be implemented manually)</t>
  </si>
  <si>
    <t>TensorFlow/Keras, PyTorch</t>
  </si>
  <si>
    <t>Centralized, decentralized/p2p (experimental)</t>
  </si>
  <si>
    <t>FedAvg, custom</t>
  </si>
  <si>
    <t>WebSockets, HTTP</t>
  </si>
  <si>
    <t>DP, HE, SMPC</t>
  </si>
  <si>
    <t>Privacy-research-oriented: strong cryptographic privacy guarantees; however, high complexity and overhead reduce scalability and ease of experimentation</t>
  </si>
  <si>
    <t>Python, Java, C++</t>
  </si>
  <si>
    <t>TensorFlow, PyTorch</t>
  </si>
  <si>
    <t>FedAvg, algorithm-specific</t>
  </si>
  <si>
    <t>Partial</t>
  </si>
  <si>
    <t>Strong</t>
  </si>
  <si>
    <t>gRPC, HTTP</t>
  </si>
  <si>
    <t xml:space="preserve"> DP, SecAgg, HE, SMPC</t>
  </si>
  <si>
    <t>Production / enterprise-oriented: strong privacy and real multi-party collaboration; however, heavy system complexity makes it unsuitable for lightweight HAR simulations</t>
  </si>
  <si>
    <t>PaddlePaddle</t>
  </si>
  <si>
    <t>FedAvg, DPSGD</t>
  </si>
  <si>
    <t>DP, SecAgg, encryption support</t>
  </si>
  <si>
    <t>Production-oriented: strong system and privacy support; however, tight coupling to PaddlePaddle and complex setup limit flexibility for research prototyping</t>
  </si>
  <si>
    <t>TensorFlow/Keras, PyTorch, Scikit-learn, Rllib</t>
  </si>
  <si>
    <t>Moderate</t>
  </si>
  <si>
    <t>gRPC, REST/HTTP</t>
  </si>
  <si>
    <t>Enterprise-oriented: strong governance and privacy support across ML backends; however, limited research-level algorithm flexibility and simulation scalability</t>
  </si>
  <si>
    <t>PyTorch, TensorFlow (limited)</t>
  </si>
  <si>
    <t>Centralized, decentralized, hierarchical</t>
  </si>
  <si>
    <t>FedAvg, FedProx, FedOpt, personalized FL variants, custom</t>
  </si>
  <si>
    <t>gRPC, MPI</t>
  </si>
  <si>
    <t>DP, SecAgg</t>
  </si>
  <si>
    <t>Research-systems-oriented: rich algorithm support and system realism; however, higher complexity than lightweight frameworks</t>
  </si>
  <si>
    <t>PyTorch, TensorFlow/Keras</t>
  </si>
  <si>
    <t>SecAgg, encryption support</t>
  </si>
  <si>
    <t>Production-oriented (regulated domains): strong security and privacy guarantees; however, limited algorithm diversity and client-scale simulation support</t>
  </si>
  <si>
    <t>PyTorch</t>
  </si>
  <si>
    <t>FedAvg, FedProx, FedNova, custom</t>
  </si>
  <si>
    <t>basic encryption, user implemented privacy</t>
  </si>
  <si>
    <t>Algorithm-research-oriented: strong support for advanced FL algorithms; however, weak built-in privacy and system realism</t>
  </si>
  <si>
    <t>Centralized, hierarchichal</t>
  </si>
  <si>
    <t>FedAvg, FedProx, FedOpt, algorithm-specific</t>
  </si>
  <si>
    <t>Research-systems-oriented: focuses on scalable and communication-efficient FL; however, limited maturity and ecosystem adoption</t>
  </si>
  <si>
    <t>Production-oriented: strong orchestration, security, and GPU integration; however, limited algorithmic diversity and heavy infrastructure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</si>
</sst>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13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EB9C"/>
      <color rgb="FF9C5700"/>
      <color rgb="FFC6EFCE"/>
      <color rgb="FF006100"/>
      <color rgb="FF9C0006"/>
      <color rgb="FFFFC7CE"/>
      <color rgb="FFFF5050"/>
      <color rgb="FF8ED973"/>
      <color rgb="FFFBFB5F"/>
      <color rgb="FFFFE9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B3E7D5-9328-44BE-A4AF-6128BDC77CE8}" name="Frameworks" displayName="Frameworks" ref="A1:K12" totalsRowShown="0" headerRowDxfId="12" dataDxfId="11">
  <autoFilter ref="A1:K12" xr:uid="{83B3E7D5-9328-44BE-A4AF-6128BDC77CE8}"/>
  <tableColumns count="11">
    <tableColumn id="1" xr3:uid="{57304317-331B-4D71-9EB3-06DF5E9C53DF}" name="Framework" dataDxfId="10">
      <calculatedColumnFormula>HYPERLINK("https://www.tensorflow.org/federated", "TensorFlow Federated Framework")</calculatedColumnFormula>
    </tableColumn>
    <tableColumn id="8" xr3:uid="{9866A1F4-88A8-40BD-95A9-FB340D12D2EC}" name="Language" dataDxfId="9"/>
    <tableColumn id="2" xr3:uid="{DDE36319-0083-404D-86C8-797BC4198B89}" name="ML backend" dataDxfId="8"/>
    <tableColumn id="3" xr3:uid="{872EC82A-443B-4D3C-8426-B94E4E889437}" name="FL Architecture type" dataDxfId="7"/>
    <tableColumn id="4" xr3:uid="{AB3C0CF7-85F1-4425-9335-E50DF8E59A22}" name="Supported aggregation algorithms" dataDxfId="6"/>
    <tableColumn id="6" xr3:uid="{2CB62D99-FAA3-44B8-8D84-8CA944B262F7}" name="Client simulation_x000a_(on a single machine)" dataDxfId="5"/>
    <tableColumn id="7" xr3:uid="{C7A583D0-84BA-452F-9725-851484A83633}" name="Communication optimization" dataDxfId="4"/>
    <tableColumn id="9" xr3:uid="{0DBBCF61-2E85-4078-AD86-55B578A2F282}" name="Communication" dataDxfId="3"/>
    <tableColumn id="11" xr3:uid="{B99FD74A-B2AF-45B7-9E0C-D95D56D3C27A}" name="Privacy handling" dataDxfId="2"/>
    <tableColumn id="5" xr3:uid="{1E56299C-741D-466F-A5DC-23C3F45D5282}" name="Notes" dataDxfId="1"/>
    <tableColumn id="10" xr3:uid="{423B32BC-334B-4240-ABFB-F4AA12EB3E14}" name="Lin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74958-B995-4934-BBA7-553FE113F493}">
  <dimension ref="A1:K18"/>
  <sheetViews>
    <sheetView tabSelected="1" zoomScale="120" workbookViewId="0">
      <pane xSplit="1" topLeftCell="B1" activePane="topRight" state="frozen"/>
      <selection pane="topRight" activeCell="C3" sqref="C3"/>
    </sheetView>
  </sheetViews>
  <sheetFormatPr defaultRowHeight="14.5" x14ac:dyDescent="0.35"/>
  <cols>
    <col min="1" max="1" width="28.453125" bestFit="1" customWidth="1"/>
    <col min="2" max="2" width="15.7265625" bestFit="1" customWidth="1"/>
    <col min="3" max="3" width="33" customWidth="1"/>
    <col min="4" max="5" width="31.54296875" bestFit="1" customWidth="1"/>
    <col min="6" max="6" width="23.453125" bestFit="1" customWidth="1"/>
    <col min="7" max="7" width="24.453125" customWidth="1"/>
    <col min="8" max="8" width="17.81640625" customWidth="1"/>
    <col min="9" max="9" width="30.7265625" customWidth="1"/>
    <col min="10" max="10" width="54.453125" customWidth="1"/>
    <col min="11" max="11" width="15.54296875" customWidth="1"/>
  </cols>
  <sheetData>
    <row r="1" spans="1:11" ht="33.65" customHeight="1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0</v>
      </c>
      <c r="K1" s="3" t="s">
        <v>10</v>
      </c>
    </row>
    <row r="2" spans="1:11" ht="43.5" x14ac:dyDescent="0.35">
      <c r="A2" s="1" t="str">
        <f>HYPERLINK("https://www.tensorflow.org/federated", "TensorFlow Federated Framework")</f>
        <v>TensorFlow Federated Framework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1" t="str">
        <f>HYPERLINK("https://www.scopus.com/pages/publications/85206045243", "Overview")</f>
        <v>Overview</v>
      </c>
    </row>
    <row r="3" spans="1:11" ht="58" x14ac:dyDescent="0.35">
      <c r="A3" s="1" t="str">
        <f>HYPERLINK("https://flower.ai/docs/framework/", "Flower Framework")</f>
        <v>Flower Framework</v>
      </c>
      <c r="B3" s="2" t="s">
        <v>11</v>
      </c>
      <c r="C3" s="2" t="s">
        <v>20</v>
      </c>
      <c r="D3" s="2" t="s">
        <v>13</v>
      </c>
      <c r="E3" s="2" t="s">
        <v>21</v>
      </c>
      <c r="F3" s="2" t="s">
        <v>15</v>
      </c>
      <c r="G3" s="2" t="s">
        <v>16</v>
      </c>
      <c r="H3" s="2" t="s">
        <v>22</v>
      </c>
      <c r="I3" s="2" t="s">
        <v>18</v>
      </c>
      <c r="J3" s="2" t="s">
        <v>23</v>
      </c>
      <c r="K3" s="1" t="str">
        <f>HYPERLINK("https://arxiv.org/pdf/2007.14390", "Paper")</f>
        <v>Paper</v>
      </c>
    </row>
    <row r="4" spans="1:11" ht="43.5" x14ac:dyDescent="0.35">
      <c r="A4" s="1" t="str">
        <f>HYPERLINK("https://docs.openmined.org/en/latest/", "PySyft")</f>
        <v>PySyft</v>
      </c>
      <c r="B4" s="2" t="s">
        <v>11</v>
      </c>
      <c r="C4" s="2" t="s">
        <v>24</v>
      </c>
      <c r="D4" s="2" t="s">
        <v>25</v>
      </c>
      <c r="E4" s="2" t="s">
        <v>26</v>
      </c>
      <c r="F4" s="2" t="s">
        <v>15</v>
      </c>
      <c r="G4" s="2" t="s">
        <v>16</v>
      </c>
      <c r="H4" s="2" t="s">
        <v>27</v>
      </c>
      <c r="I4" s="2" t="s">
        <v>28</v>
      </c>
      <c r="J4" s="2" t="s">
        <v>29</v>
      </c>
      <c r="K4" s="1" t="str">
        <f>HYPERLINK("https://www.scopus.com/pages/publications/85108201155", "Overview")</f>
        <v>Overview</v>
      </c>
    </row>
    <row r="5" spans="1:11" ht="43.5" x14ac:dyDescent="0.35">
      <c r="A5" s="1" t="str">
        <f>HYPERLINK("https://github.com/FederatedAI/FATE", "FATE")</f>
        <v>FATE</v>
      </c>
      <c r="B5" s="2" t="s">
        <v>30</v>
      </c>
      <c r="C5" s="2" t="s">
        <v>31</v>
      </c>
      <c r="D5" s="2" t="s">
        <v>13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1"/>
    </row>
    <row r="6" spans="1:11" ht="43.5" x14ac:dyDescent="0.35">
      <c r="A6" s="1" t="str">
        <f>HYPERLINK("https://github.com/PaddlePaddle/PaddleFL", "PaddleFL")</f>
        <v>PaddleFL</v>
      </c>
      <c r="B6" s="2" t="s">
        <v>11</v>
      </c>
      <c r="C6" s="2" t="s">
        <v>38</v>
      </c>
      <c r="D6" s="2" t="s">
        <v>13</v>
      </c>
      <c r="E6" s="2" t="s">
        <v>39</v>
      </c>
      <c r="F6" s="2" t="s">
        <v>33</v>
      </c>
      <c r="G6" s="2" t="s">
        <v>34</v>
      </c>
      <c r="H6" s="2" t="s">
        <v>22</v>
      </c>
      <c r="I6" s="2" t="s">
        <v>40</v>
      </c>
      <c r="J6" s="2" t="s">
        <v>41</v>
      </c>
      <c r="K6" s="2"/>
    </row>
    <row r="7" spans="1:11" ht="43.5" x14ac:dyDescent="0.35">
      <c r="A7" s="1" t="str">
        <f>HYPERLINK("https://ibmfl.res.ibm.com/", "IBM FL")</f>
        <v>IBM FL</v>
      </c>
      <c r="B7" s="2" t="s">
        <v>11</v>
      </c>
      <c r="C7" s="2" t="s">
        <v>42</v>
      </c>
      <c r="D7" s="2" t="s">
        <v>13</v>
      </c>
      <c r="E7" s="2" t="s">
        <v>32</v>
      </c>
      <c r="F7" s="2" t="s">
        <v>33</v>
      </c>
      <c r="G7" s="2" t="s">
        <v>43</v>
      </c>
      <c r="H7" s="2" t="s">
        <v>44</v>
      </c>
      <c r="I7" s="2" t="s">
        <v>40</v>
      </c>
      <c r="J7" s="2" t="s">
        <v>45</v>
      </c>
      <c r="K7" s="1" t="str">
        <f>HYPERLINK("https://arxiv.org/pdf/2007.10987", "Paper")</f>
        <v>Paper</v>
      </c>
    </row>
    <row r="8" spans="1:11" ht="29" x14ac:dyDescent="0.35">
      <c r="A8" s="1" t="str">
        <f>HYPERLINK("https://github.com/FedML-AI/FedML", "FedML")</f>
        <v>FedML</v>
      </c>
      <c r="B8" s="2" t="s">
        <v>11</v>
      </c>
      <c r="C8" s="2" t="s">
        <v>46</v>
      </c>
      <c r="D8" s="2" t="s">
        <v>47</v>
      </c>
      <c r="E8" s="2" t="s">
        <v>48</v>
      </c>
      <c r="F8" s="2" t="s">
        <v>15</v>
      </c>
      <c r="G8" s="2" t="s">
        <v>34</v>
      </c>
      <c r="H8" s="2" t="s">
        <v>49</v>
      </c>
      <c r="I8" s="2" t="s">
        <v>50</v>
      </c>
      <c r="J8" s="2" t="s">
        <v>51</v>
      </c>
      <c r="K8" s="1" t="str">
        <f>HYPERLINK("https://arxiv.org/pdf/2007.13518", "Paper")</f>
        <v>Paper</v>
      </c>
    </row>
    <row r="9" spans="1:11" ht="43.5" x14ac:dyDescent="0.35">
      <c r="A9" s="1" t="str">
        <f>HYPERLINK("https://github.com/openfl/openfl", "OpenFL")</f>
        <v>OpenFL</v>
      </c>
      <c r="B9" s="2" t="s">
        <v>11</v>
      </c>
      <c r="C9" s="2" t="s">
        <v>52</v>
      </c>
      <c r="D9" s="2" t="s">
        <v>13</v>
      </c>
      <c r="E9" s="2" t="s">
        <v>26</v>
      </c>
      <c r="F9" s="2" t="s">
        <v>33</v>
      </c>
      <c r="G9" s="2" t="s">
        <v>43</v>
      </c>
      <c r="H9" s="2" t="s">
        <v>22</v>
      </c>
      <c r="I9" s="2" t="s">
        <v>53</v>
      </c>
      <c r="J9" s="2" t="s">
        <v>54</v>
      </c>
      <c r="K9" s="1" t="str">
        <f>HYPERLINK("https://arxiv.org/pdf/2105.06413", "Paper")</f>
        <v>Paper</v>
      </c>
    </row>
    <row r="10" spans="1:11" ht="29" x14ac:dyDescent="0.35">
      <c r="A10" s="1" t="str">
        <f>HYPERLINK("https://github.com/SMILELab-FL/FedLab", "FedLab")</f>
        <v>FedLab</v>
      </c>
      <c r="B10" s="2" t="s">
        <v>11</v>
      </c>
      <c r="C10" s="2" t="s">
        <v>55</v>
      </c>
      <c r="D10" s="2" t="s">
        <v>13</v>
      </c>
      <c r="E10" s="2" t="s">
        <v>56</v>
      </c>
      <c r="F10" s="2" t="s">
        <v>15</v>
      </c>
      <c r="G10" s="2" t="s">
        <v>43</v>
      </c>
      <c r="H10" s="2" t="s">
        <v>22</v>
      </c>
      <c r="I10" s="2" t="s">
        <v>57</v>
      </c>
      <c r="J10" s="2" t="s">
        <v>58</v>
      </c>
      <c r="K10" s="1" t="str">
        <f>HYPERLINK("https://arxiv.org/pdf/2107.11621", "Paper")</f>
        <v>Paper</v>
      </c>
    </row>
    <row r="11" spans="1:11" ht="43.5" x14ac:dyDescent="0.35">
      <c r="A11" s="1" t="str">
        <f>HYPERLINK("https://github.com/FederalLab/OpenFed", "OpenFed")</f>
        <v>OpenFed</v>
      </c>
      <c r="B11" s="2" t="s">
        <v>11</v>
      </c>
      <c r="C11" s="2" t="s">
        <v>31</v>
      </c>
      <c r="D11" s="2" t="s">
        <v>59</v>
      </c>
      <c r="E11" s="2" t="s">
        <v>60</v>
      </c>
      <c r="F11" s="2" t="s">
        <v>15</v>
      </c>
      <c r="G11" s="2" t="s">
        <v>34</v>
      </c>
      <c r="H11" s="2" t="s">
        <v>22</v>
      </c>
      <c r="I11" s="2" t="s">
        <v>53</v>
      </c>
      <c r="J11" s="2" t="s">
        <v>61</v>
      </c>
      <c r="K11" s="1" t="str">
        <f>HYPERLINK("https://arxiv.org/pdf/2109.07852", "Paper")</f>
        <v>Paper</v>
      </c>
    </row>
    <row r="12" spans="1:11" ht="43.5" x14ac:dyDescent="0.35">
      <c r="A12" s="1" t="str">
        <f>HYPERLINK("https://github.com/NVIDIA/NVFlare", "NVFlare")</f>
        <v>NVFlare</v>
      </c>
      <c r="B12" s="2" t="s">
        <v>11</v>
      </c>
      <c r="C12" s="2" t="s">
        <v>24</v>
      </c>
      <c r="D12" s="2" t="s">
        <v>13</v>
      </c>
      <c r="E12" s="2" t="s">
        <v>26</v>
      </c>
      <c r="F12" s="2" t="s">
        <v>33</v>
      </c>
      <c r="G12" s="2" t="s">
        <v>43</v>
      </c>
      <c r="H12" s="2" t="s">
        <v>44</v>
      </c>
      <c r="I12" s="2" t="s">
        <v>53</v>
      </c>
      <c r="J12" s="2" t="s">
        <v>62</v>
      </c>
      <c r="K12" s="1" t="str">
        <f>HYPERLINK("https://arxiv.org/pdf/2210.13291v2/1000", "Paper")</f>
        <v>Paper</v>
      </c>
    </row>
    <row r="13" spans="1:11" x14ac:dyDescent="0.35">
      <c r="A13" s="1"/>
      <c r="B13" s="2"/>
      <c r="C13" s="2"/>
      <c r="D13" s="2"/>
      <c r="E13" s="2"/>
      <c r="F13" s="2"/>
      <c r="G13" s="2"/>
      <c r="H13" s="2"/>
      <c r="I13" s="2"/>
      <c r="J13" s="2"/>
    </row>
    <row r="14" spans="1:11" x14ac:dyDescent="0.35">
      <c r="A14" s="1"/>
      <c r="B14" s="2"/>
      <c r="C14" s="2"/>
      <c r="D14" s="2"/>
      <c r="E14" s="2"/>
      <c r="F14" s="2"/>
      <c r="G14" s="2"/>
      <c r="H14" s="2"/>
      <c r="I14" s="2"/>
      <c r="J14" s="2"/>
    </row>
    <row r="15" spans="1:11" x14ac:dyDescent="0.35">
      <c r="A15" s="1"/>
      <c r="B15" s="2"/>
      <c r="C15" s="2"/>
      <c r="E15" s="2"/>
      <c r="F15" s="2"/>
      <c r="G15" s="2"/>
      <c r="H15" s="2"/>
      <c r="I15" s="2"/>
      <c r="J15" s="2"/>
    </row>
    <row r="16" spans="1:11" x14ac:dyDescent="0.35">
      <c r="A16" s="1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1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1"/>
      <c r="B18" s="2"/>
      <c r="C18" s="2"/>
      <c r="D18" s="2"/>
      <c r="E18" s="2"/>
      <c r="F18" s="2"/>
      <c r="G18" s="2"/>
      <c r="H18" s="2"/>
      <c r="I18" s="2"/>
      <c r="J18" s="2"/>
    </row>
  </sheetData>
  <pageMargins left="0.7" right="0.7" top="0.75" bottom="0.75" header="0.3" footer="0.3"/>
  <ignoredErrors>
    <ignoredError sqref="A3 A5 A4:H4 K6" calculatedColumn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4BBD6C06A0DE48ACBAB514EB50DDDC" ma:contentTypeVersion="10" ma:contentTypeDescription="Create a new document." ma:contentTypeScope="" ma:versionID="9b616724a34cfa29386efc9b5c0f78fa">
  <xsd:schema xmlns:xsd="http://www.w3.org/2001/XMLSchema" xmlns:xs="http://www.w3.org/2001/XMLSchema" xmlns:p="http://schemas.microsoft.com/office/2006/metadata/properties" xmlns:ns3="f32230bf-e247-430b-8132-dda84b672e09" targetNamespace="http://schemas.microsoft.com/office/2006/metadata/properties" ma:root="true" ma:fieldsID="52d145844d3be618a695f830744c147e" ns3:_="">
    <xsd:import namespace="f32230bf-e247-430b-8132-dda84b672e0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2230bf-e247-430b-8132-dda84b672e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2230bf-e247-430b-8132-dda84b672e09" xsi:nil="true"/>
  </documentManagement>
</p:properties>
</file>

<file path=customXml/itemProps1.xml><?xml version="1.0" encoding="utf-8"?>
<ds:datastoreItem xmlns:ds="http://schemas.openxmlformats.org/officeDocument/2006/customXml" ds:itemID="{27079551-CFDC-40AF-81EE-8F069B401C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D769D5-C550-4691-B004-AF671C7B9B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2230bf-e247-430b-8132-dda84b672e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552A3B-F594-4060-A8EB-7B8136B4E2A5}">
  <ds:schemaRefs>
    <ds:schemaRef ds:uri="http://schemas.microsoft.com/office/2006/metadata/properties"/>
    <ds:schemaRef ds:uri="http://schemas.microsoft.com/office/infopath/2007/PartnerControls"/>
    <ds:schemaRef ds:uri="f32230bf-e247-430b-8132-dda84b672e09"/>
  </ds:schemaRefs>
</ds:datastoreItem>
</file>

<file path=docMetadata/LabelInfo.xml><?xml version="1.0" encoding="utf-8"?>
<clbl:labelList xmlns:clbl="http://schemas.microsoft.com/office/2020/mipLabelMetadata">
  <clbl:label id="{2b7fce66-bf2d-46b5-b59a-9f0018501bcd}" enabled="1" method="Standard" siteId="{f8a213d2-8f6c-400d-9e74-4e8b475316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Frameworks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Mikhaela Nadine Del Rosario Barba</dc:creator>
  <cp:keywords/>
  <dc:description/>
  <cp:lastModifiedBy>Florenc Demrozi</cp:lastModifiedBy>
  <cp:revision/>
  <dcterms:created xsi:type="dcterms:W3CDTF">2026-02-02T08:17:15Z</dcterms:created>
  <dcterms:modified xsi:type="dcterms:W3CDTF">2026-03-02T12:03:34Z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0x010100344BBD6C06A0DE48ACBAB514EB50DDDC</vt:lpwstr>
  </property>
</Properties>
</file>